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avtozayavka\"/>
    </mc:Choice>
  </mc:AlternateContent>
  <xr:revisionPtr revIDLastSave="0" documentId="13_ncr:1_{D1C8145F-1426-45C8-840E-95844EFD904F}" xr6:coauthVersionLast="47" xr6:coauthVersionMax="47" xr10:uidLastSave="{00000000-0000-0000-0000-000000000000}"/>
  <bookViews>
    <workbookView xWindow="-120" yWindow="-120" windowWidth="29040" windowHeight="15840" tabRatio="597" xr2:uid="{A00EC1AD-0DE4-4188-B39B-B45C72FF40A7}"/>
  </bookViews>
  <sheets>
    <sheet name="summary_template_sheet" sheetId="10" r:id="rId1"/>
  </sheets>
  <definedNames>
    <definedName name="_xlnm.Print_Area" localSheetId="0">summary_template_sheet!$A$1:$Q$20</definedName>
  </definedNames>
  <calcPr calcId="191029"/>
</workbook>
</file>

<file path=xl/calcChain.xml><?xml version="1.0" encoding="utf-8"?>
<calcChain xmlns="http://schemas.openxmlformats.org/spreadsheetml/2006/main">
  <c r="O18" i="10" l="1"/>
  <c r="O14" i="10"/>
  <c r="O10" i="10"/>
  <c r="I18" i="10"/>
  <c r="I14" i="10"/>
  <c r="I10" i="10"/>
  <c r="K20" i="10"/>
  <c r="E20" i="10"/>
  <c r="K19" i="10"/>
  <c r="E19" i="10"/>
  <c r="K18" i="10"/>
  <c r="E18" i="10"/>
  <c r="K16" i="10"/>
  <c r="E16" i="10"/>
  <c r="K15" i="10"/>
  <c r="E15" i="10"/>
  <c r="K14" i="10"/>
  <c r="E14" i="10"/>
  <c r="K12" i="10"/>
  <c r="E12" i="10"/>
  <c r="K11" i="10"/>
  <c r="E11" i="10"/>
  <c r="K10" i="10"/>
  <c r="E10" i="10"/>
</calcChain>
</file>

<file path=xl/sharedStrings.xml><?xml version="1.0" encoding="utf-8"?>
<sst xmlns="http://schemas.openxmlformats.org/spreadsheetml/2006/main" count="38" uniqueCount="27">
  <si>
    <t>Лизингополучатель</t>
  </si>
  <si>
    <t>Свод котировок и условий по заявке №</t>
  </si>
  <si>
    <t>Объект страхования</t>
  </si>
  <si>
    <t>Сводный сравнительный анализ котировок страховых тарифов и условий страхования</t>
  </si>
  <si>
    <t>ООО "Ромашка"</t>
  </si>
  <si>
    <t>Haval Jolion</t>
  </si>
  <si>
    <t>23459-ЛА-КЗ</t>
  </si>
  <si>
    <t>срок</t>
  </si>
  <si>
    <t>СС</t>
  </si>
  <si>
    <t>CП</t>
  </si>
  <si>
    <t>франшиза</t>
  </si>
  <si>
    <t>1 год</t>
  </si>
  <si>
    <t>2 год</t>
  </si>
  <si>
    <t>3 год</t>
  </si>
  <si>
    <t>Альфа</t>
  </si>
  <si>
    <t>Страховая компания</t>
  </si>
  <si>
    <t>рассрочка</t>
  </si>
  <si>
    <t>Комментарии</t>
  </si>
  <si>
    <t>Берут только при наличии штатной противоугонной системы.</t>
  </si>
  <si>
    <t>Бета</t>
  </si>
  <si>
    <t>Требуется осмотр и проверка СБ</t>
  </si>
  <si>
    <t>Гамма</t>
  </si>
  <si>
    <t>Необходимо провести предстраховой осмотр - возможен мобильный осмотр</t>
  </si>
  <si>
    <t>тариф</t>
  </si>
  <si>
    <t>Предложение 1</t>
  </si>
  <si>
    <t>Предложение 2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</si>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</sst>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  <font>
      <sz val="12"/>
      <name val="Arial Cyr"/>
      <charset val="204"/>
    </font>
    <font>
      <i/>
      <sz val="12"/>
      <name val="Arial"/>
      <family val="2"/>
      <charset val="204"/>
    </font>
    <font>
      <sz val="11"/>
      <color rgb="FF002060"/>
      <name val="Calibri"/>
      <family val="2"/>
      <charset val="204"/>
    </font>
    <font>
      <sz val="12"/>
      <color rgb="FF002060"/>
      <name val="Calibri"/>
      <family val="2"/>
      <charset val="204"/>
    </font>
    <font>
      <b/>
      <sz val="14"/>
      <name val="Calibri"/>
      <family val="2"/>
      <charset val="204"/>
      <scheme val="minor"/>
    </font>
    <font>
      <sz val="14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b/>
      <sz val="11"/>
      <color rgb="FFFFFFFF"/>
      <name val="Calibri"/>
      <family val="2"/>
      <charset val="204"/>
      <scheme val="minor"/>
    </font>
    <font>
      <b/>
      <sz val="16"/>
      <name val="Calibri"/>
      <family val="2"/>
      <charset val="204"/>
      <scheme val="minor"/>
    </font>
    <font>
      <sz val="11"/>
      <color rgb="FFFFFFFF"/>
      <name val="Calibri"/>
      <family val="2"/>
      <charset val="204"/>
      <scheme val="minor"/>
    </font>
    <font>
      <b/>
      <sz val="14"/>
      <color rgb="FFFFFFFF"/>
      <name val="Calibri"/>
      <family val="2"/>
      <charset val="204"/>
      <scheme val="minor"/>
    </font>
    <font>
      <b/>
      <sz val="2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 applyAlignment="1">
      <alignment horizontal="left" vertical="center" indent="4"/>
    </xf>
    <xf numFmtId="0" fontId="7" fillId="0" borderId="0" xfId="0" applyFont="1" applyAlignment="1">
      <alignment vertical="center"/>
    </xf>
    <xf numFmtId="4" fontId="3" fillId="2" borderId="0" xfId="0" applyNumberFormat="1" applyFont="1" applyFill="1" applyAlignment="1">
      <alignment horizontal="center" vertical="center"/>
    </xf>
    <xf numFmtId="0" fontId="5" fillId="0" borderId="0" xfId="0" applyFont="1"/>
    <xf numFmtId="0" fontId="8" fillId="0" borderId="0" xfId="0" applyFont="1" applyAlignment="1">
      <alignment vertical="center"/>
    </xf>
    <xf numFmtId="3" fontId="4" fillId="3" borderId="0" xfId="0" applyNumberFormat="1" applyFont="1" applyFill="1" applyAlignment="1">
      <alignment horizontal="center" vertical="center"/>
    </xf>
    <xf numFmtId="10" fontId="4" fillId="4" borderId="0" xfId="0" applyNumberFormat="1" applyFont="1" applyFill="1" applyAlignment="1">
      <alignment horizontal="center" vertical="center"/>
    </xf>
    <xf numFmtId="3" fontId="4" fillId="4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3" fontId="3" fillId="6" borderId="0" xfId="0" applyNumberFormat="1" applyFont="1" applyFill="1" applyAlignment="1">
      <alignment horizontal="center" vertical="center" wrapText="1"/>
    </xf>
    <xf numFmtId="0" fontId="10" fillId="0" borderId="0" xfId="0" applyFont="1"/>
    <xf numFmtId="4" fontId="9" fillId="2" borderId="0" xfId="0" applyNumberFormat="1" applyFont="1" applyFill="1" applyAlignment="1">
      <alignment horizontal="center" vertical="center" wrapText="1"/>
    </xf>
    <xf numFmtId="10" fontId="4" fillId="3" borderId="0" xfId="1" applyNumberFormat="1" applyFont="1" applyFill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4" fontId="12" fillId="7" borderId="0" xfId="0" applyNumberFormat="1" applyFont="1" applyFill="1" applyAlignment="1">
      <alignment horizontal="center" vertical="center" wrapText="1"/>
    </xf>
    <xf numFmtId="0" fontId="13" fillId="0" borderId="0" xfId="0" applyFont="1" applyAlignment="1">
      <alignment horizontal="left" vertical="center" indent="4"/>
    </xf>
    <xf numFmtId="0" fontId="14" fillId="8" borderId="0" xfId="0" applyFont="1" applyFill="1" applyAlignment="1">
      <alignment horizontal="center" vertical="center" wrapText="1"/>
    </xf>
    <xf numFmtId="0" fontId="14" fillId="8" borderId="0" xfId="0" applyFont="1" applyFill="1" applyAlignment="1">
      <alignment vertical="center" wrapText="1"/>
    </xf>
    <xf numFmtId="4" fontId="3" fillId="2" borderId="0" xfId="0" applyNumberFormat="1" applyFont="1" applyFill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6" fillId="3" borderId="0" xfId="0" applyNumberFormat="1" applyFont="1" applyFill="1" applyAlignment="1">
      <alignment horizontal="center" vertical="center"/>
    </xf>
    <xf numFmtId="3" fontId="3" fillId="3" borderId="0" xfId="0" applyNumberFormat="1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 wrapText="1"/>
    </xf>
    <xf numFmtId="0" fontId="17" fillId="10" borderId="0" xfId="0" applyFont="1" applyFill="1" applyAlignment="1">
      <alignment horizontal="center" vertical="center" wrapText="1"/>
    </xf>
    <xf numFmtId="0" fontId="17" fillId="10" borderId="0" xfId="0" applyFont="1" applyFill="1" applyAlignment="1">
      <alignment vertical="center" wrapText="1"/>
    </xf>
    <xf numFmtId="3" fontId="15" fillId="9" borderId="0" xfId="0" applyNumberFormat="1" applyFont="1" applyFill="1" applyAlignment="1">
      <alignment horizontal="center" vertical="center"/>
    </xf>
    <xf numFmtId="0" fontId="17" fillId="11" borderId="0" xfId="0" applyFont="1" applyFill="1" applyAlignment="1">
      <alignment horizontal="center" vertical="center" wrapText="1"/>
    </xf>
    <xf numFmtId="0" fontId="19" fillId="13" borderId="0" xfId="0" applyFont="1" applyFill="1" applyAlignment="1">
      <alignment horizontal="left" vertical="center" wrapText="1"/>
    </xf>
    <xf numFmtId="0" fontId="18" fillId="12" borderId="0" xfId="0" applyFont="1" applyFill="1" applyAlignment="1">
      <alignment horizontal="center" vertical="center" wrapText="1"/>
    </xf>
    <xf numFmtId="0" fontId="10" fillId="15" borderId="0" xfId="0" applyFont="1" applyFill="1" applyAlignment="1">
      <alignment horizontal="right" vertical="center"/>
    </xf>
    <xf numFmtId="0" fontId="9" fillId="14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0" fillId="15" borderId="0" xfId="0" applyFont="1" applyFill="1" applyAlignment="1">
      <alignment horizontal="right" vertical="center" wrapText="1"/>
    </xf>
    <xf numFmtId="0" fontId="10" fillId="14" borderId="0" xfId="0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Другая 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6044-8B35-457B-A160-026C29E1AC28}">
  <sheetPr>
    <pageSetUpPr fitToPage="1"/>
  </sheetPr>
  <dimension ref="A1:T24"/>
  <sheetViews>
    <sheetView showGridLines="0" tabSelected="1" zoomScale="80" zoomScaleNormal="80" workbookViewId="0">
      <selection activeCell="B31" sqref="B31"/>
    </sheetView>
  </sheetViews>
  <sheetFormatPr defaultRowHeight="12.75" x14ac:dyDescent="0.2"/>
  <cols>
    <col min="1" max="1" width="34.42578125" style="1" customWidth="1"/>
    <col min="2" max="2" width="15.42578125" style="1" customWidth="1"/>
    <col min="3" max="3" width="22.7109375" style="1" customWidth="1"/>
    <col min="4" max="4" width="2.85546875" style="1" customWidth="1"/>
    <col min="5" max="5" width="11.7109375" style="1" customWidth="1"/>
    <col min="6" max="6" width="13.5703125" style="1" customWidth="1"/>
    <col min="7" max="7" width="13.5703125" style="1" bestFit="1" customWidth="1"/>
    <col min="8" max="8" width="13" style="1" bestFit="1" customWidth="1"/>
    <col min="9" max="9" width="13" style="1" customWidth="1"/>
    <col min="10" max="10" width="2.85546875" style="1" customWidth="1"/>
    <col min="11" max="11" width="13.5703125" style="1" customWidth="1"/>
    <col min="12" max="12" width="14.85546875" style="1" customWidth="1"/>
    <col min="13" max="13" width="13.5703125" style="1" bestFit="1" customWidth="1"/>
    <col min="14" max="14" width="13" style="1" bestFit="1" customWidth="1"/>
    <col min="15" max="15" width="13" style="1" customWidth="1"/>
    <col min="16" max="16" width="2.85546875" style="1" customWidth="1"/>
    <col min="17" max="17" width="29.5703125" style="1" customWidth="1"/>
    <col min="18" max="18" width="2.85546875" style="1" customWidth="1"/>
    <col min="19" max="20" width="13.5703125" style="1" customWidth="1"/>
    <col min="21" max="22" width="9.140625" style="1"/>
    <col min="23" max="23" width="16" style="1" customWidth="1"/>
    <col min="24" max="24" width="14.5703125" style="1" customWidth="1"/>
    <col min="25" max="16384" width="9.140625" style="1"/>
  </cols>
  <sheetData>
    <row r="1" spans="1:20" ht="37.5" customHeight="1" x14ac:dyDescent="0.2">
      <c r="A1" s="37" t="s">
        <v>1</v>
      </c>
      <c r="B1" s="37"/>
      <c r="C1" s="38" t="s">
        <v>6</v>
      </c>
      <c r="D1" s="38"/>
      <c r="E1" s="38"/>
      <c r="F1" s="38"/>
      <c r="G1" s="38"/>
      <c r="H1" s="17"/>
      <c r="I1" s="17"/>
      <c r="J1" s="17"/>
      <c r="K1" s="39"/>
      <c r="L1" s="39"/>
      <c r="M1" s="39"/>
      <c r="N1" s="39"/>
      <c r="O1" s="16"/>
      <c r="P1" s="16"/>
      <c r="Q1" s="17"/>
      <c r="R1" s="16"/>
      <c r="S1" s="40"/>
      <c r="T1" s="40"/>
    </row>
    <row r="2" spans="1:20" ht="18.75" x14ac:dyDescent="0.2">
      <c r="A2" s="34" t="s">
        <v>2</v>
      </c>
      <c r="B2" s="34"/>
      <c r="C2" s="35" t="s">
        <v>5</v>
      </c>
      <c r="D2" s="35"/>
      <c r="E2" s="35"/>
      <c r="F2" s="35"/>
      <c r="G2" s="35"/>
      <c r="H2" s="15"/>
      <c r="I2" s="15"/>
      <c r="J2" s="15"/>
      <c r="K2" s="39"/>
      <c r="L2" s="39"/>
      <c r="M2" s="39"/>
      <c r="N2" s="39"/>
      <c r="O2" s="16"/>
      <c r="P2" s="16"/>
      <c r="Q2" s="17"/>
      <c r="R2" s="16"/>
      <c r="S2" s="40"/>
      <c r="T2" s="40"/>
    </row>
    <row r="3" spans="1:20" ht="18.75" x14ac:dyDescent="0.2">
      <c r="A3" s="34" t="s">
        <v>0</v>
      </c>
      <c r="B3" s="34"/>
      <c r="C3" s="35" t="s">
        <v>4</v>
      </c>
      <c r="D3" s="35"/>
      <c r="E3" s="35"/>
      <c r="F3" s="35"/>
      <c r="G3" s="3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20" ht="11.25" customHeight="1" x14ac:dyDescent="0.2">
      <c r="A4" s="18"/>
      <c r="B4" s="19"/>
      <c r="C4" s="19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</row>
    <row r="5" spans="1:20" ht="18.75" x14ac:dyDescent="0.3">
      <c r="A5" s="36" t="s">
        <v>3</v>
      </c>
      <c r="B5" s="36"/>
      <c r="C5" s="36"/>
      <c r="D5" s="36"/>
      <c r="E5" s="36"/>
      <c r="F5" s="36"/>
      <c r="G5" s="36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</row>
    <row r="6" spans="1:20" ht="8.25" customHeight="1" x14ac:dyDescent="0.2">
      <c r="A6" s="15"/>
      <c r="B6" s="15"/>
      <c r="C6" s="15"/>
      <c r="D6" s="15"/>
      <c r="E6" s="20"/>
      <c r="F6" s="20"/>
      <c r="G6" s="15"/>
      <c r="H6" s="15"/>
      <c r="I6" s="15"/>
      <c r="J6" s="15"/>
      <c r="K6" s="15"/>
      <c r="L6" s="15"/>
      <c r="M6" s="20"/>
      <c r="N6" s="20"/>
      <c r="O6" s="20"/>
      <c r="P6" s="15"/>
      <c r="Q6" s="15"/>
      <c r="R6" s="15"/>
      <c r="T6" s="2"/>
    </row>
    <row r="7" spans="1:20" ht="31.5" customHeight="1" x14ac:dyDescent="0.3">
      <c r="A7" s="12"/>
      <c r="B7" s="12"/>
      <c r="C7" s="12"/>
      <c r="D7" s="12"/>
      <c r="E7" s="31" t="s">
        <v>24</v>
      </c>
      <c r="F7" s="31"/>
      <c r="G7" s="31"/>
      <c r="H7" s="31"/>
      <c r="I7" s="31" t="s">
        <v>26</v>
      </c>
      <c r="J7" s="12"/>
      <c r="K7" s="31" t="s">
        <v>25</v>
      </c>
      <c r="L7" s="31"/>
      <c r="M7" s="31"/>
      <c r="N7" s="31"/>
      <c r="O7" s="31" t="s">
        <v>26</v>
      </c>
      <c r="P7" s="12"/>
      <c r="Q7" s="12"/>
      <c r="R7" s="12"/>
      <c r="T7" s="2"/>
    </row>
    <row r="8" spans="1:20" s="5" customFormat="1" ht="41.25" customHeight="1" x14ac:dyDescent="0.2">
      <c r="A8" s="28" t="s">
        <v>15</v>
      </c>
      <c r="B8" s="28" t="s">
        <v>7</v>
      </c>
      <c r="C8" s="28" t="s">
        <v>8</v>
      </c>
      <c r="D8" s="13"/>
      <c r="E8" s="28" t="s">
        <v>23</v>
      </c>
      <c r="F8" s="28" t="s">
        <v>9</v>
      </c>
      <c r="G8" s="28" t="s">
        <v>10</v>
      </c>
      <c r="H8" s="28" t="s">
        <v>16</v>
      </c>
      <c r="I8" s="31"/>
      <c r="J8" s="13"/>
      <c r="K8" s="28" t="s">
        <v>23</v>
      </c>
      <c r="L8" s="28" t="s">
        <v>9</v>
      </c>
      <c r="M8" s="28" t="s">
        <v>10</v>
      </c>
      <c r="N8" s="28" t="s">
        <v>16</v>
      </c>
      <c r="O8" s="31"/>
      <c r="P8" s="13"/>
      <c r="Q8" s="29" t="s">
        <v>17</v>
      </c>
      <c r="R8" s="13"/>
      <c r="T8" s="6"/>
    </row>
    <row r="9" spans="1:20" ht="1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2"/>
      <c r="R9" s="21"/>
      <c r="T9" s="3"/>
    </row>
    <row r="10" spans="1:20" ht="15.75" x14ac:dyDescent="0.2">
      <c r="A10" s="33" t="s">
        <v>14</v>
      </c>
      <c r="B10" s="10" t="s">
        <v>11</v>
      </c>
      <c r="C10" s="11">
        <v>2000000</v>
      </c>
      <c r="D10" s="23"/>
      <c r="E10" s="8">
        <f>F10/C10</f>
        <v>0.05</v>
      </c>
      <c r="F10" s="24">
        <v>100000</v>
      </c>
      <c r="G10" s="9">
        <v>0</v>
      </c>
      <c r="H10" s="9">
        <v>1</v>
      </c>
      <c r="I10" s="30">
        <f>SUM(F10:F12)</f>
        <v>293000</v>
      </c>
      <c r="J10" s="23"/>
      <c r="K10" s="14">
        <f>L10/C10</f>
        <v>3.7499999999999999E-2</v>
      </c>
      <c r="L10" s="26">
        <v>75000</v>
      </c>
      <c r="M10" s="25">
        <v>50000</v>
      </c>
      <c r="N10" s="7">
        <v>1</v>
      </c>
      <c r="O10" s="30">
        <f>SUM(L10:L12)</f>
        <v>217000</v>
      </c>
      <c r="P10" s="23"/>
      <c r="Q10" s="32" t="s">
        <v>18</v>
      </c>
      <c r="R10" s="23"/>
      <c r="T10" s="3"/>
    </row>
    <row r="11" spans="1:20" ht="15.75" x14ac:dyDescent="0.2">
      <c r="A11" s="33"/>
      <c r="B11" s="10" t="s">
        <v>12</v>
      </c>
      <c r="C11" s="11">
        <v>2000000</v>
      </c>
      <c r="D11" s="4"/>
      <c r="E11" s="8">
        <f>F11/C11</f>
        <v>4.9000000000000002E-2</v>
      </c>
      <c r="F11" s="24">
        <v>98000</v>
      </c>
      <c r="G11" s="9">
        <v>0</v>
      </c>
      <c r="H11" s="9">
        <v>1</v>
      </c>
      <c r="I11" s="30"/>
      <c r="J11" s="4"/>
      <c r="K11" s="14">
        <f>L11/C11</f>
        <v>3.5999999999999997E-2</v>
      </c>
      <c r="L11" s="26">
        <v>72000</v>
      </c>
      <c r="M11" s="25">
        <v>50000</v>
      </c>
      <c r="N11" s="7">
        <v>1</v>
      </c>
      <c r="O11" s="30"/>
      <c r="P11" s="4"/>
      <c r="Q11" s="32"/>
      <c r="R11" s="4"/>
    </row>
    <row r="12" spans="1:20" ht="15.75" x14ac:dyDescent="0.2">
      <c r="A12" s="33"/>
      <c r="B12" s="10" t="s">
        <v>13</v>
      </c>
      <c r="C12" s="11">
        <v>2000000</v>
      </c>
      <c r="D12" s="4"/>
      <c r="E12" s="8">
        <f>F12/C12</f>
        <v>4.7500000000000001E-2</v>
      </c>
      <c r="F12" s="24">
        <v>95000</v>
      </c>
      <c r="G12" s="9">
        <v>0</v>
      </c>
      <c r="H12" s="9">
        <v>1</v>
      </c>
      <c r="I12" s="30"/>
      <c r="J12" s="4"/>
      <c r="K12" s="14">
        <f>L12/C12</f>
        <v>3.5000000000000003E-2</v>
      </c>
      <c r="L12" s="26">
        <v>70000</v>
      </c>
      <c r="M12" s="25">
        <v>50000</v>
      </c>
      <c r="N12" s="7">
        <v>1</v>
      </c>
      <c r="O12" s="30"/>
      <c r="P12" s="4"/>
      <c r="Q12" s="32"/>
      <c r="R12" s="4"/>
    </row>
    <row r="13" spans="1:20" ht="1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7"/>
      <c r="M13" s="21"/>
      <c r="N13" s="21"/>
      <c r="O13" s="21"/>
      <c r="P13" s="21"/>
      <c r="Q13" s="22"/>
      <c r="R13" s="21"/>
      <c r="T13" s="3"/>
    </row>
    <row r="14" spans="1:20" ht="15.75" x14ac:dyDescent="0.2">
      <c r="A14" s="33" t="s">
        <v>19</v>
      </c>
      <c r="B14" s="10" t="s">
        <v>11</v>
      </c>
      <c r="C14" s="11">
        <v>2000000</v>
      </c>
      <c r="D14" s="4"/>
      <c r="E14" s="8">
        <f>F14/C14</f>
        <v>0.06</v>
      </c>
      <c r="F14" s="24">
        <v>120000</v>
      </c>
      <c r="G14" s="9">
        <v>0</v>
      </c>
      <c r="H14" s="9">
        <v>1</v>
      </c>
      <c r="I14" s="30">
        <f>SUM(F14:F16)</f>
        <v>360000</v>
      </c>
      <c r="J14" s="4"/>
      <c r="K14" s="14">
        <f>L14/C14</f>
        <v>4.4499999999999998E-2</v>
      </c>
      <c r="L14" s="26">
        <v>89000</v>
      </c>
      <c r="M14" s="25">
        <v>50000</v>
      </c>
      <c r="N14" s="7">
        <v>1</v>
      </c>
      <c r="O14" s="30">
        <f>SUM(L14:L16)</f>
        <v>241000</v>
      </c>
      <c r="P14" s="4"/>
      <c r="Q14" s="32" t="s">
        <v>20</v>
      </c>
      <c r="R14" s="4"/>
    </row>
    <row r="15" spans="1:20" ht="15.75" x14ac:dyDescent="0.2">
      <c r="A15" s="33"/>
      <c r="B15" s="10" t="s">
        <v>12</v>
      </c>
      <c r="C15" s="11">
        <v>2000000</v>
      </c>
      <c r="D15" s="4"/>
      <c r="E15" s="8">
        <f>F15/C15</f>
        <v>0.06</v>
      </c>
      <c r="F15" s="24">
        <v>120000</v>
      </c>
      <c r="G15" s="9">
        <v>0</v>
      </c>
      <c r="H15" s="9">
        <v>1</v>
      </c>
      <c r="I15" s="30"/>
      <c r="J15" s="4"/>
      <c r="K15" s="14">
        <f>L15/C15</f>
        <v>3.9E-2</v>
      </c>
      <c r="L15" s="26">
        <v>78000</v>
      </c>
      <c r="M15" s="25">
        <v>50000</v>
      </c>
      <c r="N15" s="7">
        <v>1</v>
      </c>
      <c r="O15" s="30"/>
      <c r="P15" s="4"/>
      <c r="Q15" s="32"/>
      <c r="R15" s="4"/>
    </row>
    <row r="16" spans="1:20" ht="15.75" x14ac:dyDescent="0.2">
      <c r="A16" s="33"/>
      <c r="B16" s="10" t="s">
        <v>13</v>
      </c>
      <c r="C16" s="11">
        <v>2000000</v>
      </c>
      <c r="D16" s="4"/>
      <c r="E16" s="8">
        <f>F16/C16</f>
        <v>0.06</v>
      </c>
      <c r="F16" s="24">
        <v>120000</v>
      </c>
      <c r="G16" s="9">
        <v>0</v>
      </c>
      <c r="H16" s="9">
        <v>1</v>
      </c>
      <c r="I16" s="30"/>
      <c r="J16" s="4"/>
      <c r="K16" s="14">
        <f>L16/C16</f>
        <v>3.6999999999999998E-2</v>
      </c>
      <c r="L16" s="26">
        <v>74000</v>
      </c>
      <c r="M16" s="25">
        <v>50000</v>
      </c>
      <c r="N16" s="7">
        <v>1</v>
      </c>
      <c r="O16" s="30"/>
      <c r="P16" s="4"/>
      <c r="Q16" s="32"/>
      <c r="R16" s="4"/>
    </row>
    <row r="17" spans="1:20" ht="1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2"/>
      <c r="R17" s="21"/>
      <c r="T17" s="3"/>
    </row>
    <row r="18" spans="1:20" ht="15.75" x14ac:dyDescent="0.2">
      <c r="A18" s="33" t="s">
        <v>21</v>
      </c>
      <c r="B18" s="10" t="s">
        <v>11</v>
      </c>
      <c r="C18" s="11">
        <v>2000000</v>
      </c>
      <c r="D18" s="4"/>
      <c r="E18" s="8">
        <f>F18/C18</f>
        <v>3.6999999999999998E-2</v>
      </c>
      <c r="F18" s="24">
        <v>74000</v>
      </c>
      <c r="G18" s="9">
        <v>0</v>
      </c>
      <c r="H18" s="9">
        <v>1</v>
      </c>
      <c r="I18" s="30">
        <f>SUM(F18:F20)</f>
        <v>217000</v>
      </c>
      <c r="J18" s="4"/>
      <c r="K18" s="14">
        <f>L18/C18</f>
        <v>2.9499999999999998E-2</v>
      </c>
      <c r="L18" s="26">
        <v>59000</v>
      </c>
      <c r="M18" s="25">
        <v>50000</v>
      </c>
      <c r="N18" s="7">
        <v>1</v>
      </c>
      <c r="O18" s="30">
        <f>SUM(L18:L20)</f>
        <v>174000</v>
      </c>
      <c r="P18" s="4"/>
      <c r="Q18" s="32" t="s">
        <v>22</v>
      </c>
      <c r="R18" s="4"/>
    </row>
    <row r="19" spans="1:20" ht="15.75" x14ac:dyDescent="0.2">
      <c r="A19" s="33"/>
      <c r="B19" s="10" t="s">
        <v>12</v>
      </c>
      <c r="C19" s="11">
        <v>2000000</v>
      </c>
      <c r="D19" s="4"/>
      <c r="E19" s="8">
        <f>F19/C19</f>
        <v>3.5999999999999997E-2</v>
      </c>
      <c r="F19" s="24">
        <v>72000</v>
      </c>
      <c r="G19" s="9">
        <v>0</v>
      </c>
      <c r="H19" s="9">
        <v>1</v>
      </c>
      <c r="I19" s="30"/>
      <c r="J19" s="4"/>
      <c r="K19" s="14">
        <f>L19/C19</f>
        <v>2.9000000000000001E-2</v>
      </c>
      <c r="L19" s="26">
        <v>58000</v>
      </c>
      <c r="M19" s="25">
        <v>50000</v>
      </c>
      <c r="N19" s="7">
        <v>1</v>
      </c>
      <c r="O19" s="30"/>
      <c r="P19" s="4"/>
      <c r="Q19" s="32"/>
      <c r="R19" s="4"/>
    </row>
    <row r="20" spans="1:20" ht="15.75" x14ac:dyDescent="0.2">
      <c r="A20" s="33"/>
      <c r="B20" s="10" t="s">
        <v>13</v>
      </c>
      <c r="C20" s="11">
        <v>2000000</v>
      </c>
      <c r="D20" s="4"/>
      <c r="E20" s="8">
        <f>F20/C20</f>
        <v>3.5499999999999997E-2</v>
      </c>
      <c r="F20" s="24">
        <v>71000</v>
      </c>
      <c r="G20" s="9">
        <v>0</v>
      </c>
      <c r="H20" s="9">
        <v>1</v>
      </c>
      <c r="I20" s="30"/>
      <c r="J20" s="4"/>
      <c r="K20" s="14">
        <f>L20/C20</f>
        <v>2.8500000000000001E-2</v>
      </c>
      <c r="L20" s="26">
        <v>57000</v>
      </c>
      <c r="M20" s="25">
        <v>50000</v>
      </c>
      <c r="N20" s="7">
        <v>1</v>
      </c>
      <c r="O20" s="30"/>
      <c r="P20" s="4"/>
      <c r="Q20" s="32"/>
      <c r="R20" s="4"/>
    </row>
    <row r="21" spans="1:20" ht="1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2"/>
      <c r="R21" s="21"/>
      <c r="T21" s="3"/>
    </row>
    <row r="22" spans="1:20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</row>
    <row r="23" spans="1:20" x14ac:dyDescent="0.2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spans="1:20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</row>
  </sheetData>
  <mergeCells count="25">
    <mergeCell ref="A1:B1"/>
    <mergeCell ref="C1:G1"/>
    <mergeCell ref="K1:N2"/>
    <mergeCell ref="S1:T2"/>
    <mergeCell ref="A2:B2"/>
    <mergeCell ref="C2:G2"/>
    <mergeCell ref="A3:B3"/>
    <mergeCell ref="C3:G3"/>
    <mergeCell ref="A5:G5"/>
    <mergeCell ref="E7:H7"/>
    <mergeCell ref="K7:N7"/>
    <mergeCell ref="I7:I8"/>
    <mergeCell ref="O18:O20"/>
    <mergeCell ref="O7:O8"/>
    <mergeCell ref="Q10:Q12"/>
    <mergeCell ref="A14:A16"/>
    <mergeCell ref="Q14:Q16"/>
    <mergeCell ref="A18:A20"/>
    <mergeCell ref="Q18:Q20"/>
    <mergeCell ref="I10:I12"/>
    <mergeCell ref="I14:I16"/>
    <mergeCell ref="I18:I20"/>
    <mergeCell ref="O10:O12"/>
    <mergeCell ref="O14:O16"/>
    <mergeCell ref="A10:A12"/>
  </mergeCells>
  <pageMargins left="0.7" right="0.7" top="0.75" bottom="0.75" header="0.3" footer="0.3"/>
  <pageSetup paperSize="9" scale="55" orientation="landscape" r:id="rId1"/>
  <headerFooter alignWithMargins="0">
    <oddHeader>&amp;L&amp;F&amp;C&amp;P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summary_template_sheet</vt:lpstr>
      <vt:lpstr>summary_template_sheet!Область_печати</vt:lpstr>
    </vt:vector>
  </TitlesOfParts>
  <Company>On-line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Безнедельный</dc:creator>
  <cp:lastModifiedBy>Грачев Григорий Владимирович</cp:lastModifiedBy>
  <cp:lastPrinted>2025-10-22T09:23:47Z</cp:lastPrinted>
  <dcterms:created xsi:type="dcterms:W3CDTF">2008-05-12T09:06:26Z</dcterms:created>
  <dcterms:modified xsi:type="dcterms:W3CDTF">2025-10-24T10:49:42Z</dcterms:modified>
</cp:coreProperties>
</file>